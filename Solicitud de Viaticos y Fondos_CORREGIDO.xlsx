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" sheetId="1" state="visible" r:id="rId1"/>
    <sheet xmlns:r="http://schemas.openxmlformats.org/officeDocument/2006/relationships" name="PEAJE" sheetId="2" state="visible" r:id="rId2"/>
    <sheet xmlns:r="http://schemas.openxmlformats.org/officeDocument/2006/relationships" name="COMBUSTIBLE" sheetId="3" state="visible" r:id="rId3"/>
    <sheet xmlns:r="http://schemas.openxmlformats.org/officeDocument/2006/relationships" name="ALOJAMIENTO EN CAMINO" sheetId="4" state="visible" r:id="rId4"/>
    <sheet xmlns:r="http://schemas.openxmlformats.org/officeDocument/2006/relationships" name="% IMPREVISTOS" sheetId="5" state="visible" r:id="rId5"/>
    <sheet xmlns:r="http://schemas.openxmlformats.org/officeDocument/2006/relationships" name="KILOMETRAJ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0" fillId="2" borderId="1" pivotButton="0" quotePrefix="0" xfId="0"/>
    <xf numFmtId="0" fontId="3" fillId="3" borderId="1" pivotButton="0" quotePrefix="0" xfId="0"/>
    <xf numFmtId="165" fontId="4" fillId="0" borderId="1" pivotButton="0" quotePrefix="0" xfId="0"/>
    <xf numFmtId="0" fontId="4" fillId="0" borderId="1" pivotButton="0" quotePrefix="0" xfId="0"/>
    <xf numFmtId="0" fontId="2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/>
    </xf>
    <xf numFmtId="0" fontId="3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6" fillId="4" borderId="1" pivotButton="0" quotePrefix="0" xfId="0"/>
    <xf numFmtId="3" fontId="6" fillId="4" borderId="1" pivotButton="0" quotePrefix="0" xfId="0"/>
    <xf numFmtId="3" fontId="2" fillId="5" borderId="1" pivotButton="0" quotePrefix="0" xfId="0"/>
    <xf numFmtId="1" fontId="4" fillId="0" borderId="1" pivotButton="0" quotePrefix="0" xfId="0"/>
    <xf numFmtId="0" fontId="4" fillId="0" borderId="1" applyAlignment="1" pivotButton="0" quotePrefix="0" xfId="0">
      <alignment horizontal="center"/>
    </xf>
    <xf numFmtId="0" fontId="3" fillId="4" borderId="1" pivotButton="0" quotePrefix="0" xfId="0"/>
    <xf numFmtId="0" fontId="5" fillId="0" borderId="1" pivotButton="0" quotePrefix="0" xfId="0"/>
    <xf numFmtId="0" fontId="7" fillId="2" borderId="1" pivotButton="0" quotePrefix="0" xfId="0"/>
    <xf numFmtId="3" fontId="8" fillId="4" borderId="1" pivotButton="0" quotePrefix="0" xfId="0"/>
    <xf numFmtId="3" fontId="3" fillId="4" borderId="1" pivotButton="0" quotePrefix="0" xfId="0"/>
    <xf numFmtId="166" fontId="4" fillId="0" borderId="1" pivotButton="0" quotePrefix="0" xfId="0"/>
    <xf numFmtId="0" fontId="3" fillId="3" borderId="1" applyAlignment="1" pivotButton="0" quotePrefix="0" xfId="0">
      <alignment horizontal="center"/>
    </xf>
    <xf numFmtId="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18" customWidth="1" min="4" max="4"/>
    <col width="22" customWidth="1" min="5" max="5"/>
    <col width="15" customWidth="1" min="6" max="6"/>
    <col width="20" customWidth="1" min="7" max="7"/>
  </cols>
  <sheetData>
    <row r="1">
      <c r="D1" s="1" t="inlineStr">
        <is>
          <t>FORMULARIO DE SOLICITUD</t>
        </is>
      </c>
      <c r="E1" s="2" t="n"/>
      <c r="F1" s="2" t="n"/>
      <c r="G1" s="2" t="n"/>
    </row>
    <row r="2">
      <c r="D2" s="1" t="inlineStr">
        <is>
          <t>VIATICOS, REMBOLSOS Y GASTOS DE</t>
        </is>
      </c>
      <c r="E2" s="3" t="n"/>
      <c r="F2" s="3" t="n"/>
      <c r="G2" s="3" t="n"/>
    </row>
    <row r="3">
      <c r="D3" s="1" t="inlineStr">
        <is>
          <t>REPRESENTACION</t>
        </is>
      </c>
      <c r="E3" s="3" t="n"/>
      <c r="F3" s="3" t="n"/>
      <c r="G3" s="3" t="n"/>
    </row>
    <row r="5">
      <c r="B5" s="4" t="inlineStr">
        <is>
          <t>Fecha Solicitud</t>
        </is>
      </c>
      <c r="C5" s="5" t="n">
        <v>46073</v>
      </c>
    </row>
    <row r="6">
      <c r="B6" s="4" t="inlineStr">
        <is>
          <t>Cliente</t>
        </is>
      </c>
      <c r="C6" s="6" t="inlineStr">
        <is>
          <t>Chilquinta Miraflores</t>
        </is>
      </c>
    </row>
    <row r="7">
      <c r="B7" s="4" t="inlineStr">
        <is>
          <t>Motivo</t>
        </is>
      </c>
      <c r="C7" s="6" t="inlineStr">
        <is>
          <t>Visita de emergencia en Miraflores por falla de baterías en 03 UPS´s MST 40KVA</t>
        </is>
      </c>
    </row>
    <row r="8">
      <c r="B8" s="4" t="inlineStr">
        <is>
          <t>ACN</t>
        </is>
      </c>
      <c r="C8" s="6" t="inlineStr">
        <is>
          <t>ACN°4488</t>
        </is>
      </c>
    </row>
    <row r="9">
      <c r="B9" s="4" t="inlineStr">
        <is>
          <t>Orden de Compra</t>
        </is>
      </c>
      <c r="C9" s="6" t="inlineStr"/>
    </row>
    <row r="10">
      <c r="B10" s="4" t="inlineStr">
        <is>
          <t>Solicitado por</t>
        </is>
      </c>
      <c r="C10" s="6" t="inlineStr">
        <is>
          <t>Claudia Parra Pérez</t>
        </is>
      </c>
    </row>
    <row r="11">
      <c r="B11" s="4" t="inlineStr">
        <is>
          <t>Responsable</t>
        </is>
      </c>
      <c r="C11" s="6" t="inlineStr">
        <is>
          <t>José Rojas Ramírez</t>
        </is>
      </c>
    </row>
    <row r="12">
      <c r="B12" s="7" t="inlineStr">
        <is>
          <t>Gastos para</t>
        </is>
      </c>
      <c r="C12" s="7" t="inlineStr">
        <is>
          <t>Viatico no rendible $</t>
        </is>
      </c>
      <c r="D12" s="7" t="inlineStr">
        <is>
          <t>Fondo a rendir $</t>
        </is>
      </c>
      <c r="E12" s="7" t="inlineStr">
        <is>
          <t>Gastos representacion $</t>
        </is>
      </c>
      <c r="F12" s="7" t="inlineStr">
        <is>
          <t>Reembolso $</t>
        </is>
      </c>
      <c r="G12" s="7" t="inlineStr">
        <is>
          <t>Total gastos estimados</t>
        </is>
      </c>
    </row>
    <row r="13">
      <c r="B13" s="8" t="inlineStr"/>
      <c r="C13" s="8" t="inlineStr">
        <is>
          <t>$</t>
        </is>
      </c>
      <c r="D13" s="8" t="inlineStr">
        <is>
          <t>Rendir $</t>
        </is>
      </c>
      <c r="E13" s="8" t="inlineStr">
        <is>
          <t>Representacion $</t>
        </is>
      </c>
      <c r="F13" s="8" t="inlineStr">
        <is>
          <t>$</t>
        </is>
      </c>
      <c r="G13" s="8" t="inlineStr">
        <is>
          <t>Estimado</t>
        </is>
      </c>
    </row>
    <row r="14">
      <c r="B14" s="9" t="inlineStr">
        <is>
          <t>Peajes</t>
        </is>
      </c>
      <c r="C14" s="6" t="inlineStr"/>
      <c r="D14" s="10">
        <f>PEAJE!A2</f>
        <v/>
      </c>
      <c r="E14" s="6" t="inlineStr"/>
      <c r="F14" s="6" t="inlineStr"/>
      <c r="G14" s="10" t="n"/>
    </row>
    <row r="15">
      <c r="B15" s="9" t="inlineStr">
        <is>
          <t>Envio de carga</t>
        </is>
      </c>
      <c r="C15" s="6" t="inlineStr"/>
      <c r="D15" s="10" t="n">
        <v>0</v>
      </c>
      <c r="E15" s="6" t="inlineStr"/>
      <c r="F15" s="6" t="inlineStr"/>
      <c r="G15" s="10" t="n"/>
    </row>
    <row r="16">
      <c r="B16" s="9" t="inlineStr">
        <is>
          <t>Hotel</t>
        </is>
      </c>
      <c r="C16" s="6" t="inlineStr"/>
      <c r="D16" s="10">
        <f>'ALOJAMIENTO EN CAMINO'!A2</f>
        <v/>
      </c>
      <c r="E16" s="6" t="inlineStr"/>
      <c r="F16" s="6" t="inlineStr"/>
      <c r="G16" s="10" t="n"/>
    </row>
    <row r="17">
      <c r="B17" s="9" t="inlineStr">
        <is>
          <t>Combustible</t>
        </is>
      </c>
      <c r="C17" s="6" t="inlineStr"/>
      <c r="D17" s="10">
        <f>COMBUSTIBLE!A2</f>
        <v/>
      </c>
      <c r="E17" s="6" t="inlineStr"/>
      <c r="F17" s="6" t="inlineStr"/>
      <c r="G17" s="10" t="n"/>
    </row>
    <row r="18">
      <c r="B18" s="9" t="inlineStr">
        <is>
          <t>Imprevistos</t>
        </is>
      </c>
      <c r="C18" s="6" t="inlineStr"/>
      <c r="D18" s="10">
        <f>'% IMPREVISTOS'!A2</f>
        <v/>
      </c>
      <c r="E18" s="6" t="inlineStr"/>
      <c r="F18" s="6" t="inlineStr"/>
      <c r="G18" s="10" t="n"/>
    </row>
    <row r="19">
      <c r="B19" s="4" t="inlineStr">
        <is>
          <t>Tecnico Asignado</t>
        </is>
      </c>
      <c r="C19" s="11" t="inlineStr"/>
      <c r="D19" s="12" t="n"/>
    </row>
    <row r="20">
      <c r="B20" s="6" t="inlineStr">
        <is>
          <t>José Rojas Ramírez</t>
        </is>
      </c>
      <c r="C20" s="10" t="n">
        <v>20000</v>
      </c>
      <c r="D20" s="6" t="inlineStr"/>
    </row>
    <row r="21">
      <c r="B21" s="6" t="inlineStr">
        <is>
          <t>Jonathan Carrera Pérez</t>
        </is>
      </c>
      <c r="C21" s="10" t="n">
        <v>20000</v>
      </c>
      <c r="D21" s="6" t="inlineStr"/>
    </row>
    <row r="22">
      <c r="B22" s="6" t="inlineStr">
        <is>
          <t>Jorge Aravena Ibarra</t>
        </is>
      </c>
      <c r="C22" s="10" t="n">
        <v>20000</v>
      </c>
      <c r="D22" s="6" t="inlineStr"/>
    </row>
    <row r="23">
      <c r="B23" s="6" t="inlineStr">
        <is>
          <t>Andrés Inostroza</t>
        </is>
      </c>
      <c r="C23" s="10" t="n">
        <v>20000</v>
      </c>
      <c r="D23" s="6" t="inlineStr"/>
    </row>
    <row r="25">
      <c r="B25" s="13" t="inlineStr">
        <is>
          <t>Total</t>
        </is>
      </c>
      <c r="C25" s="14">
        <f>SUM(C20:C23)</f>
        <v/>
      </c>
      <c r="D25" s="14">
        <f>SUM(D14:D18)</f>
        <v/>
      </c>
      <c r="E25" s="14">
        <f>SUM(E14:E18)</f>
        <v/>
      </c>
      <c r="F25" s="14">
        <f>SUM(F14:F18)</f>
        <v/>
      </c>
      <c r="G25" s="15">
        <f>C25+D25+E25+F25</f>
        <v/>
      </c>
    </row>
    <row r="27">
      <c r="B27" s="4" t="inlineStr">
        <is>
          <t>Combustible</t>
        </is>
      </c>
      <c r="E27" s="4" t="inlineStr">
        <is>
          <t>Dias</t>
        </is>
      </c>
      <c r="F27" s="16" t="n">
        <v>1</v>
      </c>
    </row>
    <row r="28">
      <c r="B28" s="9" t="inlineStr">
        <is>
          <t>Vehiculo Empresa</t>
        </is>
      </c>
      <c r="C28" s="17" t="inlineStr">
        <is>
          <t>X</t>
        </is>
      </c>
      <c r="E28" s="9" t="inlineStr">
        <is>
          <t>Noches</t>
        </is>
      </c>
      <c r="F28" s="16" t="n">
        <v>0</v>
      </c>
    </row>
    <row r="29">
      <c r="B29" s="9" t="inlineStr">
        <is>
          <t>Vehiculo arrendado</t>
        </is>
      </c>
      <c r="C29" s="17" t="inlineStr"/>
    </row>
    <row r="30">
      <c r="B30" s="9" t="inlineStr">
        <is>
          <t>Vehiculo propio</t>
        </is>
      </c>
      <c r="C30" s="17" t="inlineStr"/>
    </row>
    <row r="32">
      <c r="B32" s="9" t="inlineStr">
        <is>
          <t>Nacional</t>
        </is>
      </c>
      <c r="C32" s="17" t="inlineStr">
        <is>
          <t>X</t>
        </is>
      </c>
      <c r="E32" s="18" t="inlineStr">
        <is>
          <t>Fondo a rendir</t>
        </is>
      </c>
      <c r="F32" s="18" t="inlineStr">
        <is>
          <t>Viatico no rendible</t>
        </is>
      </c>
    </row>
    <row r="33">
      <c r="B33" s="9" t="inlineStr">
        <is>
          <t>Internacional</t>
        </is>
      </c>
      <c r="C33" s="17" t="inlineStr"/>
      <c r="E33" s="19" t="inlineStr">
        <is>
          <t>rendir</t>
        </is>
      </c>
      <c r="F33" s="19" t="inlineStr">
        <is>
          <t>Rendible</t>
        </is>
      </c>
    </row>
    <row r="34">
      <c r="E34" s="14">
        <f>D25</f>
        <v/>
      </c>
      <c r="F34" s="14">
        <f>C25</f>
        <v/>
      </c>
    </row>
    <row r="36">
      <c r="B36" s="4" t="inlineStr">
        <is>
          <t>Fecha de Inicio</t>
        </is>
      </c>
      <c r="C36" s="5" t="n">
        <v>46073</v>
      </c>
    </row>
    <row r="37">
      <c r="B37" s="4" t="inlineStr">
        <is>
          <t>Fecha de termino</t>
        </is>
      </c>
      <c r="C37" s="5" t="n">
        <v>46073</v>
      </c>
    </row>
    <row r="39">
      <c r="B39" s="4" t="inlineStr">
        <is>
          <t>Destino 1</t>
        </is>
      </c>
      <c r="C39" s="6" t="inlineStr">
        <is>
          <t>Viña del Mar</t>
        </is>
      </c>
    </row>
    <row r="40">
      <c r="B40" s="4" t="inlineStr">
        <is>
          <t>Destino 2</t>
        </is>
      </c>
      <c r="C40" s="6" t="inlineStr"/>
    </row>
    <row r="41">
      <c r="B41" s="4" t="inlineStr">
        <is>
          <t>Destino 3</t>
        </is>
      </c>
      <c r="C41" s="6" t="inlineStr"/>
    </row>
    <row r="42">
      <c r="B42" s="4" t="inlineStr">
        <is>
          <t>Destino 4</t>
        </is>
      </c>
      <c r="C42" s="6" t="inlineStr"/>
    </row>
    <row r="44">
      <c r="B44" s="20" t="inlineStr">
        <is>
          <t>Jefe de Area</t>
        </is>
      </c>
      <c r="C44" s="6" t="inlineStr">
        <is>
          <t>Cristián Sánchez Rojas</t>
        </is>
      </c>
    </row>
  </sheetData>
  <mergeCells count="3">
    <mergeCell ref="D2:G2"/>
    <mergeCell ref="D1:G1"/>
    <mergeCell ref="D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5" customWidth="1" min="5" max="5"/>
    <col width="20" customWidth="1" min="6" max="6"/>
    <col width="18" customWidth="1" min="7" max="7"/>
  </cols>
  <sheetData>
    <row r="1">
      <c r="A1" s="2" t="inlineStr">
        <is>
          <t>Peaje Ida y Vuelta</t>
        </is>
      </c>
    </row>
    <row r="2">
      <c r="A2" s="21" t="n">
        <v>30000</v>
      </c>
    </row>
    <row r="5">
      <c r="C5" s="1" t="inlineStr">
        <is>
          <t>En Auto/Camioneta</t>
        </is>
      </c>
      <c r="D5" s="1" t="inlineStr">
        <is>
          <t>Ida y Vuelta</t>
        </is>
      </c>
      <c r="F5" s="1" t="inlineStr">
        <is>
          <t>En Camion</t>
        </is>
      </c>
      <c r="G5" s="1" t="inlineStr">
        <is>
          <t>Ida y Vuelta</t>
        </is>
      </c>
    </row>
    <row r="6">
      <c r="A6" s="4" t="inlineStr">
        <is>
          <t>Santiago</t>
        </is>
      </c>
      <c r="B6" s="6" t="inlineStr">
        <is>
          <t>Antofagasta</t>
        </is>
      </c>
      <c r="C6" s="10" t="n">
        <v>12100</v>
      </c>
      <c r="D6" s="10">
        <f>C6*2</f>
        <v/>
      </c>
      <c r="F6" s="10" t="n">
        <v>18800</v>
      </c>
      <c r="G6" s="10">
        <f>F6*2</f>
        <v/>
      </c>
    </row>
    <row r="7">
      <c r="B7" s="6" t="inlineStr">
        <is>
          <t>La Serena</t>
        </is>
      </c>
      <c r="C7" s="10" t="n">
        <v>12100</v>
      </c>
      <c r="D7" s="10">
        <f>C7*2</f>
        <v/>
      </c>
      <c r="F7" s="10" t="n">
        <v>18800</v>
      </c>
      <c r="G7" s="10">
        <f>F7*2</f>
        <v/>
      </c>
    </row>
    <row r="8">
      <c r="B8" s="6" t="inlineStr">
        <is>
          <t>Ovalle</t>
        </is>
      </c>
      <c r="C8" s="10" t="n">
        <v>9700</v>
      </c>
      <c r="D8" s="10">
        <f>C8*2</f>
        <v/>
      </c>
      <c r="F8" s="10" t="n">
        <v>15000</v>
      </c>
      <c r="G8" s="10">
        <f>F8*2</f>
        <v/>
      </c>
    </row>
    <row r="9">
      <c r="B9" s="6" t="inlineStr">
        <is>
          <t>Illapel</t>
        </is>
      </c>
      <c r="C9" s="10" t="n">
        <v>7300</v>
      </c>
      <c r="D9" s="10">
        <f>C9*2</f>
        <v/>
      </c>
      <c r="F9" s="10" t="n">
        <v>11200</v>
      </c>
      <c r="G9" s="10">
        <f>F9*2</f>
        <v/>
      </c>
    </row>
    <row r="10">
      <c r="B10" s="6" t="inlineStr">
        <is>
          <t>La Ligua</t>
        </is>
      </c>
      <c r="C10" s="10" t="n">
        <v>4900</v>
      </c>
      <c r="D10" s="10">
        <f>C10*2</f>
        <v/>
      </c>
      <c r="F10" s="10" t="n">
        <v>7600</v>
      </c>
      <c r="G10" s="10">
        <f>F10*2</f>
        <v/>
      </c>
    </row>
    <row r="11">
      <c r="B11" s="6" t="inlineStr">
        <is>
          <t>Quillota</t>
        </is>
      </c>
      <c r="C11" s="10" t="n">
        <v>2500</v>
      </c>
      <c r="D11" s="10">
        <f>C11*2</f>
        <v/>
      </c>
      <c r="F11" s="10" t="n">
        <v>3700</v>
      </c>
      <c r="G11" s="10">
        <f>F11*2</f>
        <v/>
      </c>
    </row>
    <row r="12">
      <c r="B12" s="6" t="inlineStr">
        <is>
          <t>Valparaiso</t>
        </is>
      </c>
      <c r="C12" s="10" t="n">
        <v>4000</v>
      </c>
      <c r="D12" s="10">
        <f>C12*2</f>
        <v/>
      </c>
      <c r="F12" s="10" t="n">
        <v>5000</v>
      </c>
      <c r="G12" s="10">
        <f>F12*2</f>
        <v/>
      </c>
    </row>
    <row r="14">
      <c r="A14" s="4" t="inlineStr">
        <is>
          <t>Santiago</t>
        </is>
      </c>
      <c r="B14" s="6" t="inlineStr">
        <is>
          <t>Rancagua</t>
        </is>
      </c>
      <c r="C14" s="10" t="n">
        <v>1800</v>
      </c>
      <c r="D14" s="10">
        <f>C14*2</f>
        <v/>
      </c>
      <c r="F14" s="10" t="n">
        <v>3200</v>
      </c>
      <c r="G14" s="10">
        <f>F14*2</f>
        <v/>
      </c>
    </row>
    <row r="15">
      <c r="B15" s="6" t="inlineStr">
        <is>
          <t>Curico</t>
        </is>
      </c>
      <c r="C15" s="10" t="n">
        <v>3600</v>
      </c>
      <c r="D15" s="10">
        <f>C15*2</f>
        <v/>
      </c>
      <c r="F15" s="10" t="n">
        <v>6400</v>
      </c>
      <c r="G15" s="10">
        <f>F15*2</f>
        <v/>
      </c>
    </row>
    <row r="16">
      <c r="B16" s="6" t="inlineStr">
        <is>
          <t>Talca</t>
        </is>
      </c>
      <c r="C16" s="10" t="n">
        <v>5400</v>
      </c>
      <c r="D16" s="10">
        <f>C16*2</f>
        <v/>
      </c>
      <c r="F16" s="10" t="n">
        <v>9600</v>
      </c>
      <c r="G16" s="10">
        <f>F16*2</f>
        <v/>
      </c>
    </row>
    <row r="17">
      <c r="B17" s="6" t="inlineStr">
        <is>
          <t>Chillan</t>
        </is>
      </c>
      <c r="C17" s="10" t="n">
        <v>7200</v>
      </c>
      <c r="D17" s="10">
        <f>C17*2</f>
        <v/>
      </c>
      <c r="F17" s="10" t="n">
        <v>12800</v>
      </c>
      <c r="G17" s="10">
        <f>F17*2</f>
        <v/>
      </c>
    </row>
    <row r="18">
      <c r="B18" s="6" t="inlineStr">
        <is>
          <t>Concepcion</t>
        </is>
      </c>
      <c r="C18" s="10" t="n">
        <v>9000</v>
      </c>
      <c r="D18" s="10">
        <f>C18*2</f>
        <v/>
      </c>
      <c r="F18" s="10" t="n">
        <v>16100</v>
      </c>
      <c r="G18" s="10">
        <f>F18*2</f>
        <v/>
      </c>
    </row>
    <row r="19">
      <c r="B19" s="6" t="inlineStr">
        <is>
          <t>Temuco</t>
        </is>
      </c>
      <c r="C19" s="10" t="n">
        <v>12500</v>
      </c>
      <c r="D19" s="10">
        <f>C19*2</f>
        <v/>
      </c>
      <c r="F19" s="10" t="n">
        <v>22500</v>
      </c>
      <c r="G19" s="10">
        <f>F19*2</f>
        <v/>
      </c>
    </row>
    <row r="20">
      <c r="B20" s="6" t="inlineStr">
        <is>
          <t>Valdivia</t>
        </is>
      </c>
      <c r="C20" s="10" t="n">
        <v>15900</v>
      </c>
      <c r="D20" s="10">
        <f>C20*2</f>
        <v/>
      </c>
      <c r="F20" s="10" t="n">
        <v>28700</v>
      </c>
      <c r="G20" s="10">
        <f>F20*2</f>
        <v/>
      </c>
    </row>
    <row r="21">
      <c r="B21" s="6" t="inlineStr">
        <is>
          <t>Osorno</t>
        </is>
      </c>
      <c r="C21" s="10" t="n">
        <v>17600</v>
      </c>
      <c r="D21" s="10">
        <f>C21*2</f>
        <v/>
      </c>
      <c r="F21" s="10" t="n">
        <v>31800</v>
      </c>
      <c r="G21" s="10">
        <f>F21*2</f>
        <v/>
      </c>
    </row>
    <row r="22">
      <c r="B22" s="6" t="inlineStr">
        <is>
          <t>Puerto Montt</t>
        </is>
      </c>
      <c r="C22" s="10" t="n">
        <v>19800</v>
      </c>
      <c r="D22" s="10">
        <f>C22*2</f>
        <v/>
      </c>
      <c r="F22" s="10" t="n">
        <v>35800</v>
      </c>
      <c r="G22" s="10">
        <f>F22*2</f>
        <v/>
      </c>
    </row>
    <row r="25">
      <c r="A25" s="6" t="inlineStr"/>
    </row>
    <row r="26">
      <c r="B26" s="4" t="inlineStr">
        <is>
          <t>Valor</t>
        </is>
      </c>
      <c r="C26" s="4" t="inlineStr">
        <is>
          <t>Valor</t>
        </is>
      </c>
    </row>
    <row r="27">
      <c r="A27" s="2" t="inlineStr">
        <is>
          <t>Peajes hacia el norte</t>
        </is>
      </c>
      <c r="B27" s="2" t="inlineStr">
        <is>
          <t>Auto/Camioneta</t>
        </is>
      </c>
      <c r="C27" s="2" t="inlineStr">
        <is>
          <t>Camion</t>
        </is>
      </c>
    </row>
    <row r="28">
      <c r="A28" s="6" t="inlineStr">
        <is>
          <t>Lampa</t>
        </is>
      </c>
      <c r="B28" s="10" t="n">
        <v>1000</v>
      </c>
      <c r="C28" s="10" t="n">
        <v>1400</v>
      </c>
    </row>
    <row r="29">
      <c r="A29" s="6" t="inlineStr">
        <is>
          <t>Las Vegas</t>
        </is>
      </c>
      <c r="B29" s="10" t="n">
        <v>1500</v>
      </c>
      <c r="C29" s="10" t="n">
        <v>2300</v>
      </c>
    </row>
    <row r="30">
      <c r="A30" s="6" t="inlineStr">
        <is>
          <t>Tunel el Melon</t>
        </is>
      </c>
      <c r="B30" s="10" t="n">
        <v>2400</v>
      </c>
      <c r="C30" s="10" t="n">
        <v>3900</v>
      </c>
    </row>
    <row r="31">
      <c r="A31" s="6" t="inlineStr">
        <is>
          <t>Pichidangui</t>
        </is>
      </c>
      <c r="B31" s="10" t="n">
        <v>2400</v>
      </c>
      <c r="C31" s="10" t="n">
        <v>3600</v>
      </c>
    </row>
    <row r="32">
      <c r="A32" s="6" t="inlineStr">
        <is>
          <t>Troncal Sur Los Vilos La Serena</t>
        </is>
      </c>
      <c r="B32" s="10" t="n">
        <v>2400</v>
      </c>
      <c r="C32" s="10" t="n">
        <v>3800</v>
      </c>
    </row>
    <row r="33">
      <c r="A33" s="6" t="inlineStr">
        <is>
          <t>Troncal Norte Los Vilos La Serena</t>
        </is>
      </c>
      <c r="B33" s="10" t="n">
        <v>2400</v>
      </c>
      <c r="C33" s="10" t="n">
        <v>3800</v>
      </c>
    </row>
    <row r="35">
      <c r="A35" s="2" t="inlineStr">
        <is>
          <t>Peajes hacia el Sur</t>
        </is>
      </c>
      <c r="B35" s="2" t="inlineStr">
        <is>
          <t>Auto/Camioneta</t>
        </is>
      </c>
      <c r="C35" s="2" t="inlineStr">
        <is>
          <t>Camion</t>
        </is>
      </c>
    </row>
    <row r="36">
      <c r="A36" s="6" t="inlineStr">
        <is>
          <t>Angostura</t>
        </is>
      </c>
      <c r="B36" s="10" t="n">
        <v>1800</v>
      </c>
      <c r="C36" s="10" t="n">
        <v>3200</v>
      </c>
    </row>
    <row r="37">
      <c r="A37" s="6" t="inlineStr">
        <is>
          <t>Quinta</t>
        </is>
      </c>
      <c r="B37" s="10" t="n">
        <v>1800</v>
      </c>
      <c r="C37" s="10" t="n">
        <v>3200</v>
      </c>
    </row>
    <row r="38">
      <c r="A38" s="6" t="inlineStr">
        <is>
          <t>Rio claro</t>
        </is>
      </c>
      <c r="B38" s="10" t="n">
        <v>1800</v>
      </c>
      <c r="C38" s="10" t="n">
        <v>3200</v>
      </c>
    </row>
    <row r="39">
      <c r="A39" s="6" t="inlineStr">
        <is>
          <t>Retiro</t>
        </is>
      </c>
      <c r="B39" s="10" t="n">
        <v>1800</v>
      </c>
      <c r="C39" s="10" t="n">
        <v>3200</v>
      </c>
    </row>
    <row r="40">
      <c r="A40" s="6" t="inlineStr">
        <is>
          <t>Santa Clara</t>
        </is>
      </c>
      <c r="B40" s="10" t="n">
        <v>1800</v>
      </c>
      <c r="C40" s="10" t="n">
        <v>3300</v>
      </c>
    </row>
    <row r="41">
      <c r="A41" s="6" t="inlineStr">
        <is>
          <t xml:space="preserve">Las Maicas </t>
        </is>
      </c>
      <c r="B41" s="10" t="n">
        <v>1800</v>
      </c>
      <c r="C41" s="10" t="n">
        <v>3300</v>
      </c>
    </row>
    <row r="42">
      <c r="A42" s="6" t="inlineStr">
        <is>
          <t>Troncal Norte -Pua</t>
        </is>
      </c>
      <c r="B42" s="10" t="n">
        <v>1700</v>
      </c>
      <c r="C42" s="10" t="n">
        <v>3100</v>
      </c>
    </row>
    <row r="43">
      <c r="A43" s="6" t="inlineStr">
        <is>
          <t xml:space="preserve">Troncal Sur -Quepe </t>
        </is>
      </c>
      <c r="B43" s="10" t="n">
        <v>1700</v>
      </c>
      <c r="C43" s="10" t="n">
        <v>3100</v>
      </c>
    </row>
    <row r="44">
      <c r="A44" s="6" t="inlineStr">
        <is>
          <t>Troncal Lanco</t>
        </is>
      </c>
      <c r="B44" s="10" t="n">
        <v>1700</v>
      </c>
      <c r="C44" s="10" t="n">
        <v>3100</v>
      </c>
    </row>
    <row r="45">
      <c r="A45" s="6" t="inlineStr">
        <is>
          <t xml:space="preserve">Troncal La Union </t>
        </is>
      </c>
      <c r="B45" s="10" t="n">
        <v>1700</v>
      </c>
      <c r="C45" s="10" t="n">
        <v>3100</v>
      </c>
    </row>
    <row r="46">
      <c r="A46" s="6" t="inlineStr">
        <is>
          <t>Troncal Purranque</t>
        </is>
      </c>
      <c r="B46" s="10" t="n">
        <v>1700</v>
      </c>
      <c r="C46" s="10" t="n">
        <v>3100</v>
      </c>
    </row>
    <row r="47">
      <c r="A47" s="6" t="inlineStr">
        <is>
          <t>Troncal by pass Puerto Montt</t>
        </is>
      </c>
      <c r="B47" s="10" t="n">
        <v>500</v>
      </c>
      <c r="C47" s="10" t="n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Combustible Ida y Vuelta</t>
        </is>
      </c>
    </row>
    <row r="2">
      <c r="A2" s="21">
        <f>B18</f>
        <v/>
      </c>
    </row>
    <row r="7">
      <c r="B7" s="1" t="inlineStr">
        <is>
          <t>Auto/Camioneta</t>
        </is>
      </c>
      <c r="C7" s="1" t="inlineStr">
        <is>
          <t>Camion</t>
        </is>
      </c>
    </row>
    <row r="8">
      <c r="A8" s="4" t="inlineStr">
        <is>
          <t>Valor Combustible por litro ($)</t>
        </is>
      </c>
      <c r="B8" s="10" t="n">
        <v>1450</v>
      </c>
      <c r="C8" s="10" t="n">
        <v>1100</v>
      </c>
    </row>
    <row r="9">
      <c r="A9" s="4" t="inlineStr">
        <is>
          <t>Consumo (Km/Lt)</t>
        </is>
      </c>
      <c r="B9" s="16" t="n">
        <v>10</v>
      </c>
      <c r="C9" s="16" t="n">
        <v>6</v>
      </c>
    </row>
    <row r="10">
      <c r="A10" s="9" t="inlineStr">
        <is>
          <t>Kilometros de ida</t>
        </is>
      </c>
      <c r="B10" s="10" t="n">
        <v>800</v>
      </c>
      <c r="C10" s="10" t="n">
        <v>800</v>
      </c>
    </row>
    <row r="11">
      <c r="A11" s="9" t="inlineStr">
        <is>
          <t>Kilometros de vuelta</t>
        </is>
      </c>
      <c r="B11" s="10" t="n">
        <v>800</v>
      </c>
      <c r="C11" s="10" t="n">
        <v>800</v>
      </c>
    </row>
    <row r="12">
      <c r="A12" s="18" t="inlineStr">
        <is>
          <t>Kilometros totales</t>
        </is>
      </c>
      <c r="B12" s="22">
        <f>B10+B11</f>
        <v/>
      </c>
      <c r="C12" s="22">
        <f>C10+C11</f>
        <v/>
      </c>
    </row>
    <row r="13">
      <c r="A13" s="9" t="inlineStr">
        <is>
          <t>Consumo combustible total (lts.)</t>
        </is>
      </c>
      <c r="B13" s="23">
        <f>B12/B9</f>
        <v/>
      </c>
      <c r="C13" s="23">
        <f>C12/C9</f>
        <v/>
      </c>
    </row>
    <row r="17">
      <c r="B17" s="1" t="inlineStr">
        <is>
          <t>Auto/Camioneta</t>
        </is>
      </c>
      <c r="C17" s="1" t="inlineStr">
        <is>
          <t>Camion</t>
        </is>
      </c>
    </row>
    <row r="18">
      <c r="A18" s="18" t="inlineStr">
        <is>
          <t>Costo combustible total ($)</t>
        </is>
      </c>
      <c r="B18" s="14">
        <f>B13*B8</f>
        <v/>
      </c>
      <c r="C18" s="14">
        <f>C13*C8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Total alojamiento</t>
        </is>
      </c>
    </row>
    <row r="2">
      <c r="A2" s="21">
        <f>D15</f>
        <v/>
      </c>
    </row>
    <row r="6">
      <c r="D6" s="1" t="inlineStr">
        <is>
          <t>Valores</t>
        </is>
      </c>
    </row>
    <row r="7">
      <c r="C7" s="24" t="inlineStr">
        <is>
          <t>bajo</t>
        </is>
      </c>
      <c r="D7" s="24" t="inlineStr">
        <is>
          <t>promedio</t>
        </is>
      </c>
      <c r="E7" s="24" t="inlineStr">
        <is>
          <t>alto</t>
        </is>
      </c>
    </row>
    <row r="8">
      <c r="B8" s="9" t="inlineStr">
        <is>
          <t>Dias ida</t>
        </is>
      </c>
      <c r="D8" s="16" t="n">
        <v>3</v>
      </c>
    </row>
    <row r="9">
      <c r="B9" s="9" t="inlineStr">
        <is>
          <t>Dias vuelta</t>
        </is>
      </c>
      <c r="D9" s="16" t="n">
        <v>0</v>
      </c>
    </row>
    <row r="10">
      <c r="B10" s="9" t="inlineStr">
        <is>
          <t>Habitacion doble con bano</t>
        </is>
      </c>
      <c r="C10" s="10" t="n">
        <v>20000</v>
      </c>
      <c r="D10" s="10" t="n">
        <v>70000</v>
      </c>
      <c r="E10" s="10" t="n">
        <v>60000</v>
      </c>
    </row>
    <row r="11">
      <c r="B11" s="9" t="inlineStr">
        <is>
          <t>Habitacion single con bano</t>
        </is>
      </c>
      <c r="C11" s="6" t="inlineStr"/>
      <c r="D11" s="6" t="inlineStr"/>
      <c r="E11" s="6" t="inlineStr"/>
    </row>
    <row r="15">
      <c r="B15" s="18" t="inlineStr">
        <is>
          <t>Total alojamiento en camino</t>
        </is>
      </c>
      <c r="C15" s="22">
        <f>(D8+D9)*C10</f>
        <v/>
      </c>
      <c r="D15" s="22">
        <f>(D8+D9)*D10</f>
        <v/>
      </c>
      <c r="E15" s="22">
        <f>(D8+D9)*E10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  <col width="20" customWidth="1" min="5" max="5"/>
  </cols>
  <sheetData>
    <row r="1">
      <c r="A1" s="2" t="inlineStr">
        <is>
          <t>20% Imprevistos</t>
        </is>
      </c>
    </row>
    <row r="2">
      <c r="A2" s="21">
        <f>E4</f>
        <v/>
      </c>
    </row>
    <row r="4">
      <c r="A4" s="25" t="n">
        <v>0.2</v>
      </c>
      <c r="B4" s="9" t="inlineStr">
        <is>
          <t>20% PARA GASTOS IMPREVISTOS</t>
        </is>
      </c>
      <c r="E4" s="14">
        <f>A4*(PEAJE!A2+COMBUSTIBLE!A2+'ALOJAMIENTO EN CAMINO'!A2)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2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</cols>
  <sheetData>
    <row r="1">
      <c r="B1" s="2" t="inlineStr">
        <is>
          <t>Distancias para ingresar en Combustible</t>
        </is>
      </c>
      <c r="C1" s="1" t="inlineStr">
        <is>
          <t>Km desde Stgo</t>
        </is>
      </c>
    </row>
    <row r="2">
      <c r="B2" s="11" t="inlineStr">
        <is>
          <t>Arica</t>
        </is>
      </c>
      <c r="C2" s="10" t="n">
        <v>2100</v>
      </c>
    </row>
    <row r="3">
      <c r="B3" s="6" t="inlineStr">
        <is>
          <t>Iquique</t>
        </is>
      </c>
      <c r="C3" s="10" t="n">
        <v>1800</v>
      </c>
    </row>
    <row r="4">
      <c r="B4" s="11" t="inlineStr">
        <is>
          <t>Calama</t>
        </is>
      </c>
      <c r="C4" s="10" t="n">
        <v>1600</v>
      </c>
    </row>
    <row r="5">
      <c r="B5" s="6" t="inlineStr">
        <is>
          <t>Tocopilla</t>
        </is>
      </c>
      <c r="C5" s="10" t="n">
        <v>1561</v>
      </c>
    </row>
    <row r="6">
      <c r="B6" s="11" t="inlineStr">
        <is>
          <t>Mejillones</t>
        </is>
      </c>
      <c r="C6" s="10" t="n">
        <v>1454</v>
      </c>
    </row>
    <row r="7">
      <c r="B7" s="6" t="inlineStr">
        <is>
          <t>Antofagasta</t>
        </is>
      </c>
      <c r="C7" s="10" t="n">
        <v>1377</v>
      </c>
    </row>
    <row r="8">
      <c r="B8" s="11" t="inlineStr">
        <is>
          <t>Chañaral</t>
        </is>
      </c>
      <c r="C8" s="10" t="n">
        <v>976</v>
      </c>
    </row>
    <row r="9">
      <c r="B9" s="6" t="inlineStr">
        <is>
          <t>Copiapo</t>
        </is>
      </c>
      <c r="C9" s="10" t="n">
        <v>803</v>
      </c>
    </row>
    <row r="10">
      <c r="B10" s="11" t="inlineStr">
        <is>
          <t>Vallenar</t>
        </is>
      </c>
      <c r="C10" s="10" t="n">
        <v>663</v>
      </c>
    </row>
    <row r="11">
      <c r="B11" s="6" t="inlineStr">
        <is>
          <t>La Serena</t>
        </is>
      </c>
      <c r="C11" s="10" t="n">
        <v>470</v>
      </c>
    </row>
    <row r="12">
      <c r="B12" s="11" t="inlineStr">
        <is>
          <t>Ovalle</t>
        </is>
      </c>
      <c r="C12" s="10" t="n">
        <v>403</v>
      </c>
    </row>
    <row r="13">
      <c r="B13" s="6" t="inlineStr">
        <is>
          <t>Illapel</t>
        </is>
      </c>
      <c r="C13" s="10" t="n">
        <v>281</v>
      </c>
    </row>
    <row r="14">
      <c r="B14" s="11" t="inlineStr">
        <is>
          <t>La Ligua</t>
        </is>
      </c>
      <c r="C14" s="10" t="n">
        <v>150</v>
      </c>
    </row>
    <row r="15">
      <c r="B15" s="6" t="inlineStr">
        <is>
          <t>Quillota</t>
        </is>
      </c>
      <c r="C15" s="10" t="n">
        <v>110</v>
      </c>
    </row>
    <row r="16">
      <c r="B16" s="11" t="inlineStr">
        <is>
          <t>Los Andes</t>
        </is>
      </c>
      <c r="C16" s="10" t="n">
        <v>78</v>
      </c>
    </row>
    <row r="17">
      <c r="B17" s="6" t="inlineStr">
        <is>
          <t>Santiago</t>
        </is>
      </c>
    </row>
    <row r="18">
      <c r="B18" s="11" t="inlineStr">
        <is>
          <t>Sn.Fco. Mostazal</t>
        </is>
      </c>
      <c r="C18" s="10" t="n">
        <v>65</v>
      </c>
    </row>
    <row r="19">
      <c r="B19" s="6" t="inlineStr">
        <is>
          <t>Rancagua</t>
        </is>
      </c>
      <c r="C19" s="10" t="n">
        <v>84</v>
      </c>
    </row>
    <row r="20">
      <c r="B20" s="11" t="inlineStr">
        <is>
          <t>Saanta Cruz</t>
        </is>
      </c>
      <c r="C20" s="10" t="n">
        <v>191</v>
      </c>
    </row>
    <row r="21">
      <c r="B21" s="6" t="inlineStr">
        <is>
          <t>Curico</t>
        </is>
      </c>
      <c r="C21" s="10" t="n">
        <v>194</v>
      </c>
    </row>
    <row r="22">
      <c r="B22" s="11" t="inlineStr">
        <is>
          <t>Talca</t>
        </is>
      </c>
      <c r="C22" s="10" t="n">
        <v>257</v>
      </c>
    </row>
    <row r="23">
      <c r="B23" s="6" t="inlineStr">
        <is>
          <t>Chillan</t>
        </is>
      </c>
      <c r="C23" s="10" t="n">
        <v>404</v>
      </c>
    </row>
    <row r="24">
      <c r="B24" s="11" t="inlineStr">
        <is>
          <t>Concepcion</t>
        </is>
      </c>
      <c r="C24" s="10" t="n">
        <v>500</v>
      </c>
    </row>
    <row r="25">
      <c r="B25" s="6" t="inlineStr">
        <is>
          <t>Temuco</t>
        </is>
      </c>
      <c r="C25" s="10" t="n">
        <v>676</v>
      </c>
    </row>
    <row r="26">
      <c r="B26" s="11" t="inlineStr">
        <is>
          <t>Valdivia</t>
        </is>
      </c>
      <c r="C26" s="10" t="n">
        <v>841</v>
      </c>
    </row>
    <row r="27">
      <c r="B27" s="6" t="inlineStr">
        <is>
          <t>Osorno</t>
        </is>
      </c>
      <c r="C27" s="10" t="n">
        <v>923</v>
      </c>
    </row>
    <row r="28">
      <c r="B28" s="11" t="inlineStr">
        <is>
          <t>Puerto Montt</t>
        </is>
      </c>
      <c r="C28" s="10" t="n">
        <v>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2026-04-14T21:59:42Z</dcterms:created>
  <dcterms:modified xmlns:dcterms="http://purl.org/dc/terms/" xmlns:xsi="http://www.w3.org/2001/XMLSchema-instance" xsi:type="dcterms:W3CDTF">2026-04-14T21:59:42Z</dcterms:modified>
</cp:coreProperties>
</file>